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1600" windowHeight="10500" activeTab="1"/>
  </bookViews>
  <sheets>
    <sheet name="Sheet1" sheetId="6" r:id="rId1"/>
    <sheet name="竖排" sheetId="7" r:id="rId2"/>
  </sheets>
  <calcPr calcId="125725"/>
</workbook>
</file>

<file path=xl/calcChain.xml><?xml version="1.0" encoding="utf-8"?>
<calcChain xmlns="http://schemas.openxmlformats.org/spreadsheetml/2006/main">
  <c r="L31" i="7"/>
  <c r="L30"/>
  <c r="L29"/>
  <c r="K31"/>
  <c r="K30"/>
  <c r="K29"/>
  <c r="J31"/>
  <c r="J30"/>
  <c r="J29"/>
  <c r="I31"/>
  <c r="I30"/>
  <c r="I29"/>
  <c r="E31"/>
  <c r="E30"/>
  <c r="E29"/>
  <c r="D31"/>
  <c r="D30"/>
  <c r="D29"/>
  <c r="C31"/>
  <c r="C30"/>
  <c r="C29"/>
  <c r="B31"/>
  <c r="B30"/>
  <c r="B29"/>
  <c r="E20"/>
  <c r="E19"/>
  <c r="E18"/>
  <c r="D20"/>
  <c r="D19"/>
  <c r="D18"/>
  <c r="C20"/>
  <c r="C19"/>
  <c r="C18"/>
  <c r="B20"/>
  <c r="B19"/>
  <c r="B18"/>
  <c r="L20"/>
  <c r="L19"/>
  <c r="L18"/>
  <c r="K20"/>
  <c r="K19"/>
  <c r="K18"/>
  <c r="J20"/>
  <c r="J19"/>
  <c r="J18"/>
  <c r="I20"/>
  <c r="I19"/>
  <c r="I18"/>
  <c r="S20"/>
  <c r="S19"/>
  <c r="S18"/>
  <c r="R20"/>
  <c r="R19"/>
  <c r="R18"/>
  <c r="Q20"/>
  <c r="Q19"/>
  <c r="Q18"/>
  <c r="P20"/>
  <c r="P19"/>
  <c r="P18"/>
  <c r="S9"/>
  <c r="S8"/>
  <c r="S7"/>
  <c r="R9"/>
  <c r="R8"/>
  <c r="R7"/>
  <c r="Q9"/>
  <c r="Q8"/>
  <c r="Q7"/>
  <c r="P9"/>
  <c r="P8"/>
  <c r="P7"/>
  <c r="L9"/>
  <c r="L8"/>
  <c r="L7"/>
  <c r="K9"/>
  <c r="K8"/>
  <c r="K7"/>
  <c r="I9"/>
  <c r="I8"/>
  <c r="I7"/>
  <c r="J9"/>
  <c r="J8"/>
  <c r="J7"/>
  <c r="C9"/>
  <c r="C8"/>
  <c r="C7"/>
  <c r="B8"/>
  <c r="B7"/>
  <c r="B9"/>
  <c r="E9"/>
  <c r="E8"/>
  <c r="E7"/>
  <c r="D9"/>
  <c r="D8"/>
  <c r="D7"/>
  <c r="C19" i="6"/>
  <c r="D19"/>
  <c r="B19"/>
  <c r="K33"/>
  <c r="J33"/>
  <c r="I33"/>
  <c r="K32"/>
  <c r="J32"/>
  <c r="I32"/>
  <c r="K28"/>
  <c r="J28"/>
  <c r="I28"/>
  <c r="K27"/>
  <c r="J27"/>
  <c r="I27"/>
  <c r="D33"/>
  <c r="C33"/>
  <c r="B33"/>
  <c r="D32"/>
  <c r="C32"/>
  <c r="B32"/>
  <c r="D28"/>
  <c r="C28"/>
  <c r="B28"/>
  <c r="D27"/>
  <c r="C27"/>
  <c r="B27"/>
  <c r="D20"/>
  <c r="C20"/>
  <c r="B20"/>
  <c r="D18"/>
  <c r="C18"/>
  <c r="B18"/>
  <c r="D17"/>
  <c r="C17"/>
  <c r="B17"/>
  <c r="R20"/>
  <c r="Q20"/>
  <c r="P20"/>
  <c r="R19"/>
  <c r="Q19"/>
  <c r="P19"/>
  <c r="R18"/>
  <c r="Q18"/>
  <c r="P18"/>
  <c r="R17"/>
  <c r="Q17"/>
  <c r="P17"/>
  <c r="K20"/>
  <c r="J20"/>
  <c r="I20"/>
  <c r="K19"/>
  <c r="J19"/>
  <c r="I19"/>
  <c r="K18"/>
  <c r="J18"/>
  <c r="I18"/>
  <c r="K17"/>
  <c r="J17"/>
  <c r="I17"/>
  <c r="R10"/>
  <c r="Q10"/>
  <c r="P10"/>
  <c r="R9"/>
  <c r="Q9"/>
  <c r="P9"/>
  <c r="R8"/>
  <c r="Q8"/>
  <c r="P8"/>
  <c r="R7"/>
  <c r="Q7"/>
  <c r="P7"/>
  <c r="K10"/>
  <c r="J10"/>
  <c r="I10"/>
  <c r="K9"/>
  <c r="J9"/>
  <c r="I9"/>
  <c r="K8"/>
  <c r="J8"/>
  <c r="I8"/>
  <c r="K7"/>
  <c r="J7"/>
  <c r="I7"/>
  <c r="D10"/>
  <c r="C10"/>
  <c r="B10"/>
  <c r="D9"/>
  <c r="C9"/>
  <c r="B9"/>
  <c r="D8"/>
  <c r="C8"/>
  <c r="B8"/>
  <c r="D7"/>
  <c r="C7"/>
  <c r="B7"/>
  <c r="J32" i="7" l="1"/>
  <c r="I32"/>
  <c r="B32"/>
  <c r="E32"/>
  <c r="L32"/>
  <c r="D32"/>
  <c r="K32"/>
  <c r="C32"/>
  <c r="B21"/>
  <c r="C21"/>
  <c r="E21"/>
  <c r="D21"/>
  <c r="I21"/>
  <c r="J21"/>
  <c r="L21"/>
  <c r="K21"/>
  <c r="P21"/>
  <c r="S21"/>
  <c r="R21"/>
  <c r="Q21"/>
  <c r="P10"/>
  <c r="Q10"/>
  <c r="S10"/>
  <c r="R10"/>
  <c r="J10"/>
  <c r="I10"/>
  <c r="K10"/>
  <c r="L10"/>
  <c r="B10"/>
  <c r="D10"/>
  <c r="C10"/>
  <c r="E10"/>
  <c r="L33" i="6"/>
  <c r="L32"/>
  <c r="E27"/>
  <c r="L28"/>
  <c r="L27"/>
  <c r="E33"/>
  <c r="L17"/>
  <c r="E17"/>
  <c r="E20"/>
  <c r="E18"/>
  <c r="S20"/>
  <c r="E32"/>
  <c r="E28"/>
  <c r="S18"/>
  <c r="S17"/>
  <c r="E19"/>
  <c r="L18"/>
  <c r="S19"/>
  <c r="L20"/>
  <c r="S7"/>
  <c r="L7"/>
  <c r="S10"/>
  <c r="L19"/>
  <c r="L9"/>
  <c r="S8"/>
  <c r="L10"/>
  <c r="S9"/>
  <c r="L8"/>
  <c r="E10"/>
  <c r="E7"/>
  <c r="E8"/>
  <c r="E9"/>
</calcChain>
</file>

<file path=xl/sharedStrings.xml><?xml version="1.0" encoding="utf-8"?>
<sst xmlns="http://schemas.openxmlformats.org/spreadsheetml/2006/main" count="174" uniqueCount="19">
  <si>
    <t>额定速度</t>
    <phoneticPr fontId="1" type="noConversion"/>
  </si>
  <si>
    <t>m/s</t>
    <phoneticPr fontId="1" type="noConversion"/>
  </si>
  <si>
    <t>电气</t>
    <phoneticPr fontId="1" type="noConversion"/>
  </si>
  <si>
    <t>机械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</si>
  <si>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</si>
  <si>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</si>
  <si>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</si>
  <si>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平均</t>
    <phoneticPr fontId="1" type="noConversion"/>
  </si>
  <si>
    <t>F9</t>
    <phoneticPr fontId="1" type="noConversion"/>
  </si>
  <si>
    <t>还有两种情况</t>
    <phoneticPr fontId="1" type="noConversion"/>
  </si>
  <si>
    <t>按F9自动改变数值</t>
    <phoneticPr fontId="1" type="noConversion"/>
  </si>
  <si>
    <t>一</t>
    <phoneticPr fontId="6" type="noConversion"/>
  </si>
  <si>
    <t>二</t>
    <phoneticPr fontId="6" type="noConversion"/>
  </si>
  <si>
    <t>三</t>
    <phoneticPr fontId="6" type="noConversion"/>
  </si>
  <si>
    <t>平均</t>
    <phoneticPr fontId="6" type="noConversion"/>
  </si>
  <si>
    <t>上行电气</t>
    <phoneticPr fontId="6" type="noConversion"/>
  </si>
  <si>
    <t>上行机械</t>
    <phoneticPr fontId="6" type="noConversion"/>
  </si>
  <si>
    <t>下行机械</t>
    <phoneticPr fontId="6" type="noConversion"/>
  </si>
  <si>
    <t>下行电气</t>
    <phoneticPr fontId="6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</si>
</sst>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8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2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charset val="134"/>
    </font>
    <font>
      <sz val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3" fillId="0" borderId="0" xfId="0" applyFon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5" borderId="0" xfId="0" applyFill="1">
      <alignment vertical="center"/>
    </xf>
    <xf numFmtId="0" fontId="5" fillId="0" borderId="0" xfId="0" applyFont="1">
      <alignment vertical="center"/>
    </xf>
    <xf numFmtId="0" fontId="0" fillId="0" borderId="1" xfId="0" applyBorder="1">
      <alignment vertical="center"/>
    </xf>
    <xf numFmtId="0" fontId="7" fillId="0" borderId="1" xfId="0" applyFont="1" applyBorder="1">
      <alignment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opLeftCell="A4" zoomScale="120" zoomScaleNormal="120" workbookViewId="0">
      <selection activeCell="N24" sqref="N24:O26"/>
    </sheetView>
  </sheetViews>
  <sheetFormatPr defaultRowHeight="14.25"/>
  <sheetData>
    <row r="1" spans="1:19" ht="33.75" customHeight="1">
      <c r="F1" s="9" t="s">
        <v>8</v>
      </c>
      <c r="H1" s="11" t="s">
        <v>10</v>
      </c>
    </row>
    <row r="4" spans="1:19">
      <c r="A4" t="s">
        <v>0</v>
      </c>
      <c r="B4" s="6">
        <v>0.5</v>
      </c>
      <c r="C4" t="s">
        <v>1</v>
      </c>
      <c r="D4" s="4">
        <v>0.7</v>
      </c>
      <c r="E4" s="5">
        <v>0.8</v>
      </c>
      <c r="H4" t="s">
        <v>0</v>
      </c>
      <c r="I4" s="6">
        <v>1</v>
      </c>
      <c r="J4" t="s">
        <v>1</v>
      </c>
      <c r="K4" s="4">
        <v>1.1499999999999999</v>
      </c>
      <c r="L4" s="5">
        <v>1.5</v>
      </c>
      <c r="O4" t="s">
        <v>0</v>
      </c>
      <c r="P4" s="6">
        <v>1.5</v>
      </c>
      <c r="Q4" t="s">
        <v>1</v>
      </c>
      <c r="R4" s="4">
        <v>1.73</v>
      </c>
      <c r="S4" s="5">
        <v>2.04</v>
      </c>
    </row>
    <row r="6" spans="1:19">
      <c r="A6" s="1"/>
      <c r="B6" s="2" t="s">
        <v>4</v>
      </c>
      <c r="C6" s="2" t="s">
        <v>5</v>
      </c>
      <c r="D6" s="2" t="s">
        <v>6</v>
      </c>
      <c r="E6" s="2" t="s">
        <v>7</v>
      </c>
      <c r="H6" s="1"/>
      <c r="I6" s="2" t="s">
        <v>4</v>
      </c>
      <c r="J6" s="2" t="s">
        <v>5</v>
      </c>
      <c r="K6" s="2" t="s">
        <v>6</v>
      </c>
      <c r="L6" s="2" t="s">
        <v>7</v>
      </c>
      <c r="O6" s="1"/>
      <c r="P6" s="2" t="s">
        <v>4</v>
      </c>
      <c r="Q6" s="2" t="s">
        <v>5</v>
      </c>
      <c r="R6" s="2" t="s">
        <v>6</v>
      </c>
      <c r="S6" s="2" t="s">
        <v>7</v>
      </c>
    </row>
    <row r="7" spans="1:19">
      <c r="A7" s="1" t="s">
        <v>2</v>
      </c>
      <c r="B7" s="7">
        <f ca="1">0.64 + (0.7 - 0.64) * RAND()</f>
        <v>0.66888949350035953</v>
      </c>
      <c r="C7" s="7">
        <f t="shared" ref="C7:D7" ca="1" si="0">0.64 + (0.7 - 0.64) * RAND()</f>
        <v>0.64825623384939612</v>
      </c>
      <c r="D7" s="7">
        <f t="shared" ca="1" si="0"/>
        <v>0.65156915022521489</v>
      </c>
      <c r="E7" s="8">
        <f ca="1">AVERAGE(B7:D7)</f>
        <v>0.65623829252499011</v>
      </c>
      <c r="H7" s="1" t="s">
        <v>2</v>
      </c>
      <c r="I7" s="7">
        <f ca="1">1.2 + (1.29 - 1.2) * RAND()</f>
        <v>1.2333661186009508</v>
      </c>
      <c r="J7" s="7">
        <f t="shared" ref="J7:K7" ca="1" si="1">1.2 + (1.29 - 1.2) * RAND()</f>
        <v>1.2265438132359465</v>
      </c>
      <c r="K7" s="7">
        <f t="shared" ca="1" si="1"/>
        <v>1.242036170448344</v>
      </c>
      <c r="L7" s="8">
        <f ca="1">AVERAGE(I7:K7)</f>
        <v>1.2339820340950804</v>
      </c>
      <c r="O7" s="1" t="s">
        <v>2</v>
      </c>
      <c r="P7" s="7">
        <f ca="1">1.81 + (1.89 - 1.81) * RAND()</f>
        <v>1.828178453575845</v>
      </c>
      <c r="Q7" s="7">
        <f t="shared" ref="Q7:R7" ca="1" si="2">1.81 + (1.89 - 1.81) * RAND()</f>
        <v>1.8423077678274462</v>
      </c>
      <c r="R7" s="7">
        <f t="shared" ca="1" si="2"/>
        <v>1.8154381474437231</v>
      </c>
      <c r="S7" s="8">
        <f ca="1">AVERAGE(P7:R7)</f>
        <v>1.8286414562823381</v>
      </c>
    </row>
    <row r="8" spans="1:19">
      <c r="A8" s="1" t="s">
        <v>3</v>
      </c>
      <c r="B8" s="7">
        <f ca="1">0.72 + (0.78 - 0.72) * RAND()</f>
        <v>0.72257986616306469</v>
      </c>
      <c r="C8" s="7">
        <f t="shared" ref="C8:D8" ca="1" si="3">0.72 + (0.78 - 0.72) * RAND()</f>
        <v>0.73385711675515808</v>
      </c>
      <c r="D8" s="7">
        <f t="shared" ca="1" si="3"/>
        <v>0.76323939660212037</v>
      </c>
      <c r="E8" s="8">
        <f ca="1">AVERAGE(B8:D8)</f>
        <v>0.73989212650678116</v>
      </c>
      <c r="H8" s="1" t="s">
        <v>3</v>
      </c>
      <c r="I8" s="7">
        <f ca="1">1.31 + (1.4 - 1.31) * RAND()</f>
        <v>1.3692886255940884</v>
      </c>
      <c r="J8" s="7">
        <f t="shared" ref="J8:K8" ca="1" si="4">1.31 + (1.4 - 1.31) * RAND()</f>
        <v>1.3679847066927142</v>
      </c>
      <c r="K8" s="7">
        <f t="shared" ca="1" si="4"/>
        <v>1.3238569910650386</v>
      </c>
      <c r="L8" s="8">
        <f ca="1">AVERAGE(I8:K8)</f>
        <v>1.3537101077839473</v>
      </c>
      <c r="O8" s="1" t="s">
        <v>3</v>
      </c>
      <c r="P8" s="7">
        <f ca="1">1.92 + (1.98 - 1.92) * RAND()</f>
        <v>1.9789084120037113</v>
      </c>
      <c r="Q8" s="7">
        <f t="shared" ref="Q8:R8" ca="1" si="5">1.92 + (1.98 - 1.92) * RAND()</f>
        <v>1.9790323769020828</v>
      </c>
      <c r="R8" s="7">
        <f t="shared" ca="1" si="5"/>
        <v>1.9353737685595538</v>
      </c>
      <c r="S8" s="8">
        <f ca="1">AVERAGE(P8:R8)</f>
        <v>1.9644381858217825</v>
      </c>
    </row>
    <row r="9" spans="1:19">
      <c r="A9" s="1" t="s">
        <v>2</v>
      </c>
      <c r="B9" s="7">
        <f ca="1">0.65 + (0.7 - 0.64) * RAND()</f>
        <v>0.67651424658060444</v>
      </c>
      <c r="C9" s="7">
        <f t="shared" ref="C9:D9" ca="1" si="6">0.65 + (0.7 - 0.64) * RAND()</f>
        <v>0.69117944974755197</v>
      </c>
      <c r="D9" s="7">
        <f t="shared" ca="1" si="6"/>
        <v>0.65733687836990917</v>
      </c>
      <c r="E9" s="8">
        <f ca="1">AVERAGE(B9:D9)</f>
        <v>0.67501019156602193</v>
      </c>
      <c r="H9" s="1" t="s">
        <v>2</v>
      </c>
      <c r="I9" s="7">
        <f ca="1">1.21 + (1.29 - 1.2) * RAND()</f>
        <v>1.268140947246823</v>
      </c>
      <c r="J9" s="7">
        <f t="shared" ref="J9:K9" ca="1" si="7">1.21 + (1.29 - 1.2) * RAND()</f>
        <v>1.2630700421082892</v>
      </c>
      <c r="K9" s="7">
        <f t="shared" ca="1" si="7"/>
        <v>1.2473943430901744</v>
      </c>
      <c r="L9" s="8">
        <f ca="1">AVERAGE(I9:K9)</f>
        <v>1.2595351108150956</v>
      </c>
      <c r="O9" s="1" t="s">
        <v>2</v>
      </c>
      <c r="P9" s="7">
        <f ca="1">1.82 + (1.89 - 1.81) * RAND()</f>
        <v>1.8205843793789374</v>
      </c>
      <c r="Q9" s="7">
        <f t="shared" ref="Q9:R9" ca="1" si="8">1.82 + (1.89 - 1.81) * RAND()</f>
        <v>1.8201653794290049</v>
      </c>
      <c r="R9" s="7">
        <f t="shared" ca="1" si="8"/>
        <v>1.8592326487940576</v>
      </c>
      <c r="S9" s="8">
        <f ca="1">AVERAGE(P9:R9)</f>
        <v>1.8333274692006665</v>
      </c>
    </row>
    <row r="10" spans="1:19">
      <c r="A10" s="1" t="s">
        <v>3</v>
      </c>
      <c r="B10" s="7">
        <f ca="1">0.73 + (0.78 - 0.72) * RAND()</f>
        <v>0.73378658041302169</v>
      </c>
      <c r="C10" s="7">
        <f t="shared" ref="C10:D10" ca="1" si="9">0.73 + (0.78 - 0.72) * RAND()</f>
        <v>0.73436117293828196</v>
      </c>
      <c r="D10" s="7">
        <f t="shared" ca="1" si="9"/>
        <v>0.74444639575051441</v>
      </c>
      <c r="E10" s="8">
        <f ca="1">AVERAGE(B10:D10)</f>
        <v>0.73753138303393939</v>
      </c>
      <c r="H10" s="1" t="s">
        <v>3</v>
      </c>
      <c r="I10" s="7">
        <f ca="1">1.32 + (1.4 - 1.31) * RAND()</f>
        <v>1.3276451278378056</v>
      </c>
      <c r="J10" s="7">
        <f t="shared" ref="J10:K10" ca="1" si="10">1.32 + (1.4 - 1.31) * RAND()</f>
        <v>1.3927994680194404</v>
      </c>
      <c r="K10" s="7">
        <f t="shared" ca="1" si="10"/>
        <v>1.3781400723133772</v>
      </c>
      <c r="L10" s="8">
        <f ca="1">AVERAGE(I10:K10)</f>
        <v>1.3661948893902078</v>
      </c>
      <c r="O10" s="1" t="s">
        <v>3</v>
      </c>
      <c r="P10" s="7">
        <f ca="1">1.93 + (1.98 - 1.92) * RAND()</f>
        <v>1.9757843552230012</v>
      </c>
      <c r="Q10" s="7">
        <f t="shared" ref="Q10:R10" ca="1" si="11">1.93 + (1.98 - 1.92) * RAND()</f>
        <v>1.9848815823464017</v>
      </c>
      <c r="R10" s="7">
        <f t="shared" ca="1" si="11"/>
        <v>1.9538822095708677</v>
      </c>
      <c r="S10" s="8">
        <f ca="1">AVERAGE(P10:R10)</f>
        <v>1.9715160490467569</v>
      </c>
    </row>
    <row r="12" spans="1:19" s="10" customFormat="1"/>
    <row r="14" spans="1:19">
      <c r="A14" t="s">
        <v>0</v>
      </c>
      <c r="B14" s="6">
        <v>1.6</v>
      </c>
      <c r="C14" t="s">
        <v>1</v>
      </c>
      <c r="D14" s="4">
        <v>1.84</v>
      </c>
      <c r="E14" s="5">
        <v>2.16</v>
      </c>
      <c r="H14" t="s">
        <v>0</v>
      </c>
      <c r="I14" s="6">
        <v>1.75</v>
      </c>
      <c r="J14" t="s">
        <v>1</v>
      </c>
      <c r="K14" s="4">
        <v>2.0099999999999998</v>
      </c>
      <c r="L14" s="5">
        <v>2.33</v>
      </c>
      <c r="O14" t="s">
        <v>0</v>
      </c>
      <c r="P14" s="6">
        <v>2</v>
      </c>
      <c r="Q14" t="s">
        <v>1</v>
      </c>
      <c r="R14" s="4">
        <v>2.2999999999999998</v>
      </c>
      <c r="S14" s="5">
        <v>2.63</v>
      </c>
    </row>
    <row r="16" spans="1:19">
      <c r="A16" s="1"/>
      <c r="B16" s="2" t="s">
        <v>4</v>
      </c>
      <c r="C16" s="2" t="s">
        <v>5</v>
      </c>
      <c r="D16" s="2" t="s">
        <v>6</v>
      </c>
      <c r="E16" s="2" t="s">
        <v>7</v>
      </c>
      <c r="H16" s="1"/>
      <c r="I16" s="2" t="s">
        <v>4</v>
      </c>
      <c r="J16" s="2" t="s">
        <v>5</v>
      </c>
      <c r="K16" s="2" t="s">
        <v>6</v>
      </c>
      <c r="L16" s="2" t="s">
        <v>7</v>
      </c>
      <c r="O16" s="1"/>
      <c r="P16" s="2" t="s">
        <v>4</v>
      </c>
      <c r="Q16" s="2" t="s">
        <v>5</v>
      </c>
      <c r="R16" s="2" t="s">
        <v>6</v>
      </c>
      <c r="S16" s="2" t="s">
        <v>7</v>
      </c>
    </row>
    <row r="17" spans="1:19">
      <c r="A17" s="1" t="s">
        <v>2</v>
      </c>
      <c r="B17" s="7">
        <f ca="1">1.9 + (1.99 - 1.9) * RAND()</f>
        <v>1.9625598240666904</v>
      </c>
      <c r="C17" s="7">
        <f t="shared" ref="C17:D17" ca="1" si="12">1.9 + (1.99 - 1.9) * RAND()</f>
        <v>1.968541291110766</v>
      </c>
      <c r="D17" s="7">
        <f t="shared" ca="1" si="12"/>
        <v>1.9187736371318935</v>
      </c>
      <c r="E17" s="8">
        <f ca="1">AVERAGE(B17:D17)</f>
        <v>1.9499582507697832</v>
      </c>
      <c r="H17" s="1" t="s">
        <v>2</v>
      </c>
      <c r="I17" s="7">
        <f ca="1">2.08 + (2.17 - 2.08) * RAND()</f>
        <v>2.1553391297042301</v>
      </c>
      <c r="J17" s="7">
        <f t="shared" ref="J17:K17" ca="1" si="13">2.08 + (2.17 - 2.08) * RAND()</f>
        <v>2.0867828279906497</v>
      </c>
      <c r="K17" s="7">
        <f t="shared" ca="1" si="13"/>
        <v>2.1550002654715272</v>
      </c>
      <c r="L17" s="8">
        <f ca="1">AVERAGE(I17:K17)</f>
        <v>2.1323740743888027</v>
      </c>
      <c r="O17" s="1" t="s">
        <v>2</v>
      </c>
      <c r="P17" s="7">
        <f ca="1">2.38 + (2.47 - 2.38) * RAND()</f>
        <v>2.4341835802850937</v>
      </c>
      <c r="Q17" s="7">
        <f t="shared" ref="Q17:R17" ca="1" si="14">2.38 + (2.47 - 2.38) * RAND()</f>
        <v>2.3934678899674995</v>
      </c>
      <c r="R17" s="7">
        <f t="shared" ca="1" si="14"/>
        <v>2.3821967583293788</v>
      </c>
      <c r="S17" s="8">
        <f ca="1">AVERAGE(P17:R17)</f>
        <v>2.4032827428606574</v>
      </c>
    </row>
    <row r="18" spans="1:19">
      <c r="A18" s="1" t="s">
        <v>3</v>
      </c>
      <c r="B18" s="7">
        <f ca="1">2.01 + (2.1 - 2.01) * RAND()</f>
        <v>2.0258668481239885</v>
      </c>
      <c r="C18" s="7">
        <f t="shared" ref="C18:D18" ca="1" si="15">2.01 + (2.1 - 2.01) * RAND()</f>
        <v>2.0990199317843703</v>
      </c>
      <c r="D18" s="7">
        <f t="shared" ca="1" si="15"/>
        <v>2.073869617524621</v>
      </c>
      <c r="E18" s="8">
        <f ca="1">AVERAGE(B18:D18)</f>
        <v>2.0662521324776599</v>
      </c>
      <c r="H18" s="1" t="s">
        <v>3</v>
      </c>
      <c r="I18" s="7">
        <f ca="1">2.21 + (2.3 - 2.21) * RAND()</f>
        <v>2.2426156253448122</v>
      </c>
      <c r="J18" s="7">
        <f t="shared" ref="J18:K18" ca="1" si="16">2.21 + (2.3 - 2.21) * RAND()</f>
        <v>2.2996352013169146</v>
      </c>
      <c r="K18" s="7">
        <f t="shared" ca="1" si="16"/>
        <v>2.2919952478108665</v>
      </c>
      <c r="L18" s="8">
        <f ca="1">AVERAGE(I18:K18)</f>
        <v>2.2780820248241977</v>
      </c>
      <c r="O18" s="1" t="s">
        <v>3</v>
      </c>
      <c r="P18" s="7">
        <f ca="1">2.51 + (2.6 - 2.51) * RAND()</f>
        <v>2.524185983069775</v>
      </c>
      <c r="Q18" s="7">
        <f t="shared" ref="Q18:R18" ca="1" si="17">2.51 + (2.6 - 2.51) * RAND()</f>
        <v>2.5731977355584439</v>
      </c>
      <c r="R18" s="7">
        <f t="shared" ca="1" si="17"/>
        <v>2.5931174499127776</v>
      </c>
      <c r="S18" s="8">
        <f ca="1">AVERAGE(P18:R18)</f>
        <v>2.5635003895136657</v>
      </c>
    </row>
    <row r="19" spans="1:19">
      <c r="A19" s="1" t="s">
        <v>2</v>
      </c>
      <c r="B19" s="7">
        <f ca="1">1.95 + (1.99 - 1.9) * RAND()</f>
        <v>1.9746098503881042</v>
      </c>
      <c r="C19" s="7">
        <f t="shared" ref="C19:D19" ca="1" si="18">1.95 + (1.99 - 1.9) * RAND()</f>
        <v>2.0390873630222273</v>
      </c>
      <c r="D19" s="7">
        <f t="shared" ca="1" si="18"/>
        <v>2.0246910933467008</v>
      </c>
      <c r="E19" s="8">
        <f ca="1">AVERAGE(B19:D19)</f>
        <v>2.0127961022523442</v>
      </c>
      <c r="H19" s="1" t="s">
        <v>2</v>
      </c>
      <c r="I19" s="7">
        <f ca="1">2.09 + (2.17 - 2.08) * RAND()</f>
        <v>2.1799590495103689</v>
      </c>
      <c r="J19" s="7">
        <f t="shared" ref="J19:K19" ca="1" si="19">2.09 + (2.17 - 2.08) * RAND()</f>
        <v>2.1633894621248135</v>
      </c>
      <c r="K19" s="7">
        <f t="shared" ca="1" si="19"/>
        <v>2.1309665071441399</v>
      </c>
      <c r="L19" s="8">
        <f ca="1">AVERAGE(I19:K19)</f>
        <v>2.1581050062597744</v>
      </c>
      <c r="O19" s="1" t="s">
        <v>2</v>
      </c>
      <c r="P19" s="7">
        <f ca="1">2.39 + (2.47 - 2.38) * RAND()</f>
        <v>2.3984818003910071</v>
      </c>
      <c r="Q19" s="7">
        <f t="shared" ref="Q19:R19" ca="1" si="20">2.39 + (2.47 - 2.38) * RAND()</f>
        <v>2.440804784478547</v>
      </c>
      <c r="R19" s="7">
        <f t="shared" ca="1" si="20"/>
        <v>2.3967639839406831</v>
      </c>
      <c r="S19" s="8">
        <f ca="1">AVERAGE(P19:R19)</f>
        <v>2.4120168562700788</v>
      </c>
    </row>
    <row r="20" spans="1:19">
      <c r="A20" s="1" t="s">
        <v>3</v>
      </c>
      <c r="B20" s="7">
        <f ca="1">2.09 + (2.1 - 2.01) * RAND()</f>
        <v>2.1309427661192033</v>
      </c>
      <c r="C20" s="7">
        <f t="shared" ref="C20:D20" ca="1" si="21">2.09 + (2.1 - 2.01) * RAND()</f>
        <v>2.1229750075253739</v>
      </c>
      <c r="D20" s="7">
        <f t="shared" ca="1" si="21"/>
        <v>2.1578776357270786</v>
      </c>
      <c r="E20" s="8">
        <f ca="1">AVERAGE(B20:D20)</f>
        <v>2.1372651364572186</v>
      </c>
      <c r="H20" s="1" t="s">
        <v>3</v>
      </c>
      <c r="I20" s="7">
        <f ca="1">2.22 + (2.3 - 2.21) * RAND()</f>
        <v>2.2262949437225514</v>
      </c>
      <c r="J20" s="7">
        <f t="shared" ref="J20:K20" ca="1" si="22">2.22 + (2.3 - 2.21) * RAND()</f>
        <v>2.3088668675126383</v>
      </c>
      <c r="K20" s="7">
        <f t="shared" ca="1" si="22"/>
        <v>2.2244009955295443</v>
      </c>
      <c r="L20" s="8">
        <f ca="1">AVERAGE(I20:K20)</f>
        <v>2.2531876022549113</v>
      </c>
      <c r="O20" s="1" t="s">
        <v>3</v>
      </c>
      <c r="P20" s="7">
        <f ca="1">2.52 + (2.6 - 2.51) * RAND()</f>
        <v>2.6007655754955032</v>
      </c>
      <c r="Q20" s="7">
        <f t="shared" ref="Q20:R20" ca="1" si="23">2.52 + (2.6 - 2.51) * RAND()</f>
        <v>2.5405554517789821</v>
      </c>
      <c r="R20" s="7">
        <f t="shared" ca="1" si="23"/>
        <v>2.5220220938082161</v>
      </c>
      <c r="S20" s="8">
        <f ca="1">AVERAGE(P20:R20)</f>
        <v>2.5544477070275673</v>
      </c>
    </row>
    <row r="22" spans="1:19" s="10" customFormat="1"/>
    <row r="24" spans="1:19">
      <c r="A24" t="s">
        <v>0</v>
      </c>
      <c r="B24" s="6">
        <v>2.5</v>
      </c>
      <c r="C24" t="s">
        <v>1</v>
      </c>
      <c r="D24" s="4">
        <v>2.88</v>
      </c>
      <c r="E24" s="5">
        <v>3.23</v>
      </c>
      <c r="H24" t="s">
        <v>0</v>
      </c>
      <c r="I24" s="6">
        <v>0.63</v>
      </c>
      <c r="J24" t="s">
        <v>1</v>
      </c>
      <c r="K24" s="4">
        <v>0.73</v>
      </c>
      <c r="L24" s="5">
        <v>0.8</v>
      </c>
      <c r="N24" s="11" t="s">
        <v>9</v>
      </c>
    </row>
    <row r="25" spans="1:19">
      <c r="N25" s="4">
        <v>0.73</v>
      </c>
      <c r="O25" s="5">
        <v>1</v>
      </c>
    </row>
    <row r="26" spans="1:19">
      <c r="A26" s="1"/>
      <c r="B26" s="2" t="s">
        <v>4</v>
      </c>
      <c r="C26" s="2" t="s">
        <v>5</v>
      </c>
      <c r="D26" s="2" t="s">
        <v>6</v>
      </c>
      <c r="E26" s="2" t="s">
        <v>7</v>
      </c>
      <c r="H26" s="1"/>
      <c r="I26" s="2" t="s">
        <v>4</v>
      </c>
      <c r="J26" s="2" t="s">
        <v>5</v>
      </c>
      <c r="K26" s="2" t="s">
        <v>6</v>
      </c>
      <c r="L26" s="2" t="s">
        <v>7</v>
      </c>
      <c r="N26" s="4">
        <v>0.73</v>
      </c>
      <c r="O26" s="5">
        <v>1.5</v>
      </c>
    </row>
    <row r="27" spans="1:19">
      <c r="A27" s="1" t="s">
        <v>2</v>
      </c>
      <c r="B27" s="7">
        <f ca="1">2.85 + (3.05 - 2.85) * RAND()</f>
        <v>2.8585160182160601</v>
      </c>
      <c r="C27" s="7">
        <f t="shared" ref="C27:D27" ca="1" si="24">2.85 + (3.05 - 2.85) * RAND()</f>
        <v>2.9636919523746639</v>
      </c>
      <c r="D27" s="7">
        <f t="shared" ca="1" si="24"/>
        <v>2.995665408157369</v>
      </c>
      <c r="E27" s="8">
        <f ca="1">AVERAGE(B27:D27)</f>
        <v>2.9392911262493642</v>
      </c>
      <c r="H27" s="1" t="s">
        <v>2</v>
      </c>
      <c r="I27" s="7">
        <f ca="1">0.73 + (0.78 - 0.73) * RAND()</f>
        <v>0.74589107832112944</v>
      </c>
      <c r="J27" s="7">
        <f t="shared" ref="J27:K27" ca="1" si="25">0.73 + (0.78 - 0.73) * RAND()</f>
        <v>0.7657746443956629</v>
      </c>
      <c r="K27" s="7">
        <f t="shared" ca="1" si="25"/>
        <v>0.77784757778954527</v>
      </c>
      <c r="L27" s="8">
        <f ca="1">AVERAGE(I27:K27)</f>
        <v>0.7631711001687792</v>
      </c>
    </row>
    <row r="28" spans="1:19">
      <c r="A28" s="1" t="s">
        <v>3</v>
      </c>
      <c r="B28" s="7">
        <f ca="1">3.08 + (3.18 -3.08) * RAND()</f>
        <v>3.1669177316958601</v>
      </c>
      <c r="C28" s="7">
        <f t="shared" ref="C28:D28" ca="1" si="26">3.08 + (3.18 -3.08) * RAND()</f>
        <v>3.12713728319827</v>
      </c>
      <c r="D28" s="7">
        <f t="shared" ca="1" si="26"/>
        <v>3.1070715284523813</v>
      </c>
      <c r="E28" s="8">
        <f ca="1">AVERAGE(B28:D28)</f>
        <v>3.1337088477821706</v>
      </c>
      <c r="H28" s="1" t="s">
        <v>3</v>
      </c>
      <c r="I28" s="7">
        <f ca="1">0.75 + (0.8 - 0.75) * RAND()</f>
        <v>0.7545003034680039</v>
      </c>
      <c r="J28" s="7">
        <f t="shared" ref="J28:K28" ca="1" si="27">0.75 + (0.8 - 0.75) * RAND()</f>
        <v>0.77135374759064135</v>
      </c>
      <c r="K28" s="7">
        <f t="shared" ca="1" si="27"/>
        <v>0.78692103032995742</v>
      </c>
      <c r="L28" s="8">
        <f ca="1">AVERAGE(I28:K28)</f>
        <v>0.77092502712953426</v>
      </c>
    </row>
    <row r="31" spans="1:19">
      <c r="A31" s="1"/>
      <c r="B31" s="2" t="s">
        <v>4</v>
      </c>
      <c r="C31" s="2" t="s">
        <v>5</v>
      </c>
      <c r="D31" s="2" t="s">
        <v>6</v>
      </c>
      <c r="E31" s="2" t="s">
        <v>7</v>
      </c>
      <c r="H31" s="1"/>
      <c r="I31" s="2" t="s">
        <v>4</v>
      </c>
      <c r="J31" s="2" t="s">
        <v>5</v>
      </c>
      <c r="K31" s="2" t="s">
        <v>6</v>
      </c>
      <c r="L31" s="2" t="s">
        <v>7</v>
      </c>
    </row>
    <row r="32" spans="1:19">
      <c r="A32" s="1" t="s">
        <v>2</v>
      </c>
      <c r="B32" s="7">
        <f ca="1">2.88 + (3.05 - 2.85) * RAND()</f>
        <v>2.9489237807601598</v>
      </c>
      <c r="C32" s="7">
        <f t="shared" ref="C32:D32" ca="1" si="28">2.88 + (3.05 - 2.85) * RAND()</f>
        <v>2.9080273524355724</v>
      </c>
      <c r="D32" s="7">
        <f t="shared" ca="1" si="28"/>
        <v>3.0414022269729988</v>
      </c>
      <c r="E32" s="8">
        <f ca="1">AVERAGE(B32:D32)</f>
        <v>2.96611778672291</v>
      </c>
      <c r="H32" s="1" t="s">
        <v>2</v>
      </c>
      <c r="I32" s="7">
        <f ca="1">0.74 + (0.78 - 0.73) * RAND()</f>
        <v>0.74175579193138774</v>
      </c>
      <c r="J32" s="7">
        <f t="shared" ref="J32:K32" ca="1" si="29">0.74 + (0.78 - 0.73) * RAND()</f>
        <v>0.77320152271100029</v>
      </c>
      <c r="K32" s="7">
        <f t="shared" ca="1" si="29"/>
        <v>0.76210048644489059</v>
      </c>
      <c r="L32" s="3">
        <f ca="1">AVERAGE(I32:K32)</f>
        <v>0.75901926702909284</v>
      </c>
    </row>
    <row r="33" spans="1:12">
      <c r="A33" s="1" t="s">
        <v>3</v>
      </c>
      <c r="B33" s="7">
        <f ca="1">3.11 + (3.18 -3.08) * RAND()</f>
        <v>3.1485633335991126</v>
      </c>
      <c r="C33" s="7">
        <f t="shared" ref="C33:D33" ca="1" si="30">3.11 + (3.18 -3.08) * RAND()</f>
        <v>3.1273467379718918</v>
      </c>
      <c r="D33" s="7">
        <f t="shared" ca="1" si="30"/>
        <v>3.1164938195903562</v>
      </c>
      <c r="E33" s="8">
        <f ca="1">AVERAGE(B33:D33)</f>
        <v>3.1308012970537873</v>
      </c>
      <c r="H33" s="1" t="s">
        <v>3</v>
      </c>
      <c r="I33" s="7">
        <f ca="1">0.75 + (0.8 - 0.75) * RAND()</f>
        <v>0.7644946500425478</v>
      </c>
      <c r="J33" s="7">
        <f t="shared" ref="J33:K33" ca="1" si="31">0.75 + (0.8 - 0.75) * RAND()</f>
        <v>0.79825837333796335</v>
      </c>
      <c r="K33" s="7">
        <f t="shared" ca="1" si="31"/>
        <v>0.79146040950791496</v>
      </c>
      <c r="L33" s="3">
        <f ca="1">AVERAGE(I33:K33)</f>
        <v>0.7847378109628087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0"/>
  <sheetViews>
    <sheetView tabSelected="1" topLeftCell="D1" workbookViewId="0">
      <selection activeCell="K18" sqref="K18:K21"/>
    </sheetView>
  </sheetViews>
  <sheetFormatPr defaultRowHeight="14.25"/>
  <sheetData>
    <row r="1" spans="1:19" ht="33.75" customHeight="1">
      <c r="F1" s="9" t="s">
        <v>8</v>
      </c>
      <c r="H1" s="11" t="s">
        <v>10</v>
      </c>
    </row>
    <row r="4" spans="1:19">
      <c r="A4" t="s">
        <v>0</v>
      </c>
      <c r="B4" s="6">
        <v>0.5</v>
      </c>
      <c r="C4" t="s">
        <v>1</v>
      </c>
      <c r="D4" s="4">
        <v>0.7</v>
      </c>
      <c r="E4" s="5">
        <v>0.8</v>
      </c>
      <c r="H4" t="s">
        <v>0</v>
      </c>
      <c r="I4" s="6">
        <v>1</v>
      </c>
      <c r="J4" t="s">
        <v>1</v>
      </c>
      <c r="K4" s="4">
        <v>1.1499999999999999</v>
      </c>
      <c r="L4" s="5">
        <v>1.5</v>
      </c>
      <c r="O4" t="s">
        <v>0</v>
      </c>
      <c r="P4" s="6">
        <v>1.5</v>
      </c>
      <c r="Q4" t="s">
        <v>1</v>
      </c>
      <c r="R4" s="4">
        <v>1.73</v>
      </c>
      <c r="S4" s="5">
        <v>2.04</v>
      </c>
    </row>
    <row r="5" spans="1:19" s="14" customFormat="1">
      <c r="B5" s="15"/>
      <c r="I5" s="15"/>
      <c r="P5" s="15"/>
    </row>
    <row r="6" spans="1:19" ht="27" customHeight="1">
      <c r="A6" s="12"/>
      <c r="B6" s="13" t="s">
        <v>15</v>
      </c>
      <c r="C6" s="13" t="s">
        <v>18</v>
      </c>
      <c r="D6" s="13" t="s">
        <v>16</v>
      </c>
      <c r="E6" s="13" t="s">
        <v>17</v>
      </c>
      <c r="H6" s="12"/>
      <c r="I6" s="13" t="s">
        <v>15</v>
      </c>
      <c r="J6" s="13" t="s">
        <v>18</v>
      </c>
      <c r="K6" s="13" t="s">
        <v>16</v>
      </c>
      <c r="L6" s="13" t="s">
        <v>17</v>
      </c>
      <c r="O6" s="12"/>
      <c r="P6" s="13" t="s">
        <v>15</v>
      </c>
      <c r="Q6" s="13" t="s">
        <v>18</v>
      </c>
      <c r="R6" s="13" t="s">
        <v>16</v>
      </c>
      <c r="S6" s="13" t="s">
        <v>17</v>
      </c>
    </row>
    <row r="7" spans="1:19" ht="21.75" customHeight="1">
      <c r="A7" s="12" t="s">
        <v>11</v>
      </c>
      <c r="B7" s="7">
        <f t="shared" ref="B7:B8" ca="1" si="0">0.65 + (0.7 - 0.64) * RAND()</f>
        <v>0.65937561445585413</v>
      </c>
      <c r="C7" s="7">
        <f ca="1">0.64 + (0.7 - 0.64) * RAND()</f>
        <v>0.68843915737587269</v>
      </c>
      <c r="D7" s="7">
        <f ca="1">0.72 + (0.78 - 0.72) * RAND()</f>
        <v>0.73106687052985042</v>
      </c>
      <c r="E7" s="7">
        <f ca="1">0.73 + (0.78 - 0.72) * RAND()</f>
        <v>0.77531932037552931</v>
      </c>
      <c r="H7" s="12" t="s">
        <v>11</v>
      </c>
      <c r="I7" s="7">
        <f ca="1">1.21 + (1.29 - 1.2) * RAND()</f>
        <v>1.277004666603998</v>
      </c>
      <c r="J7" s="7">
        <f ca="1">1.2 + (1.29 - 1.2) * RAND()</f>
        <v>1.2619505640535165</v>
      </c>
      <c r="K7" s="7">
        <f ca="1">1.31 + (1.4 - 1.31) * RAND()</f>
        <v>1.3763418578320381</v>
      </c>
      <c r="L7" s="7">
        <f ca="1">1.32 + (1.4 - 1.31) * RAND()</f>
        <v>1.3547686802589665</v>
      </c>
      <c r="O7" s="12" t="s">
        <v>11</v>
      </c>
      <c r="P7" s="7">
        <f ca="1">1.82 + (1.89 - 1.81) * RAND()</f>
        <v>1.8639327335753055</v>
      </c>
      <c r="Q7" s="7">
        <f ca="1">1.81 + (1.89 - 1.81) * RAND()</f>
        <v>1.8254422873086529</v>
      </c>
      <c r="R7" s="7">
        <f ca="1">1.92 + (1.98 - 1.92) * RAND()</f>
        <v>1.9439730811914391</v>
      </c>
      <c r="S7" s="7">
        <f ca="1">1.93 + (1.98 - 1.92) * RAND()</f>
        <v>1.9459210659878783</v>
      </c>
    </row>
    <row r="8" spans="1:19" ht="21.75" customHeight="1">
      <c r="A8" s="12" t="s">
        <v>12</v>
      </c>
      <c r="B8" s="7">
        <f t="shared" ca="1" si="0"/>
        <v>0.70090260269699012</v>
      </c>
      <c r="C8" s="7">
        <f ca="1">0.64 + (0.7 - 0.64) * RAND()</f>
        <v>0.69866016211906934</v>
      </c>
      <c r="D8" s="7">
        <f ca="1">0.72 + (0.78 - 0.72) * RAND()</f>
        <v>0.73546976037009759</v>
      </c>
      <c r="E8" s="7">
        <f ca="1">0.73 + (0.78 - 0.72) * RAND()</f>
        <v>0.76252462800468379</v>
      </c>
      <c r="H8" s="12" t="s">
        <v>12</v>
      </c>
      <c r="I8" s="7">
        <f ca="1">1.21 + (1.29 - 1.2) * RAND()</f>
        <v>1.2145723689390442</v>
      </c>
      <c r="J8" s="7">
        <f ca="1">1.2 + (1.29 - 1.2) * RAND()</f>
        <v>1.285918268931193</v>
      </c>
      <c r="K8" s="7">
        <f ca="1">1.31 + (1.4 - 1.31) * RAND()</f>
        <v>1.3754091256919914</v>
      </c>
      <c r="L8" s="7">
        <f ca="1">1.32 + (1.4 - 1.31) * RAND()</f>
        <v>1.396710686019083</v>
      </c>
      <c r="O8" s="12" t="s">
        <v>12</v>
      </c>
      <c r="P8" s="7">
        <f ca="1">1.82 + (1.89 - 1.81) * RAND()</f>
        <v>1.8396405001631262</v>
      </c>
      <c r="Q8" s="7">
        <f ca="1">1.81 + (1.89 - 1.81) * RAND()</f>
        <v>1.8216971246847939</v>
      </c>
      <c r="R8" s="7">
        <f ca="1">1.92 + (1.98 - 1.92) * RAND()</f>
        <v>1.959313912559796</v>
      </c>
      <c r="S8" s="7">
        <f ca="1">1.93 + (1.98 - 1.92) * RAND()</f>
        <v>1.9546761246944278</v>
      </c>
    </row>
    <row r="9" spans="1:19" ht="21.75" customHeight="1">
      <c r="A9" s="12" t="s">
        <v>13</v>
      </c>
      <c r="B9" s="7">
        <f ca="1">0.65 + (0.7 - 0.64) * RAND()</f>
        <v>0.67831459032337105</v>
      </c>
      <c r="C9" s="7">
        <f ca="1">0.64 + (0.7 - 0.64) * RAND()</f>
        <v>0.64176415469115433</v>
      </c>
      <c r="D9" s="7">
        <f ca="1">0.72 + (0.78 - 0.72) * RAND()</f>
        <v>0.73294462809813021</v>
      </c>
      <c r="E9" s="7">
        <f ca="1">0.73 + (0.78 - 0.72) * RAND()</f>
        <v>0.76760782372438596</v>
      </c>
      <c r="H9" s="12" t="s">
        <v>13</v>
      </c>
      <c r="I9" s="7">
        <f ca="1">1.21 + (1.29 - 1.2) * RAND()</f>
        <v>1.2248569850157787</v>
      </c>
      <c r="J9" s="7">
        <f ca="1">1.2 + (1.29 - 1.2) * RAND()</f>
        <v>1.2299564098370128</v>
      </c>
      <c r="K9" s="7">
        <f ca="1">1.31 + (1.4 - 1.31) * RAND()</f>
        <v>1.3257556863792297</v>
      </c>
      <c r="L9" s="7">
        <f ca="1">1.32 + (1.4 - 1.31) * RAND()</f>
        <v>1.3850529443080168</v>
      </c>
      <c r="O9" s="12" t="s">
        <v>13</v>
      </c>
      <c r="P9" s="7">
        <f ca="1">1.82 + (1.89 - 1.81) * RAND()</f>
        <v>1.8756847998293247</v>
      </c>
      <c r="Q9" s="7">
        <f ca="1">1.81 + (1.89 - 1.81) * RAND()</f>
        <v>1.8729653019238051</v>
      </c>
      <c r="R9" s="7">
        <f ca="1">1.92 + (1.98 - 1.92) * RAND()</f>
        <v>1.9653003292095204</v>
      </c>
      <c r="S9" s="7">
        <f ca="1">1.93 + (1.98 - 1.92) * RAND()</f>
        <v>1.9487118954212528</v>
      </c>
    </row>
    <row r="10" spans="1:19" ht="21.75" customHeight="1">
      <c r="A10" s="12" t="s">
        <v>14</v>
      </c>
      <c r="B10" s="7">
        <f ca="1">AVERAGE(B7:B9)</f>
        <v>0.67953093582540502</v>
      </c>
      <c r="C10" s="7">
        <f t="shared" ref="C10:E10" ca="1" si="1">AVERAGE(C7:C9)</f>
        <v>0.67628782472869886</v>
      </c>
      <c r="D10" s="7">
        <f t="shared" ca="1" si="1"/>
        <v>0.73316041966602608</v>
      </c>
      <c r="E10" s="7">
        <f t="shared" ca="1" si="1"/>
        <v>0.76848392403486632</v>
      </c>
      <c r="H10" s="12" t="s">
        <v>14</v>
      </c>
      <c r="I10" s="7">
        <f ca="1">AVERAGE(I7:I9)</f>
        <v>1.2388113401862737</v>
      </c>
      <c r="J10" s="7">
        <f t="shared" ref="J10" ca="1" si="2">AVERAGE(J7:J9)</f>
        <v>1.2592750809405742</v>
      </c>
      <c r="K10" s="7">
        <f t="shared" ref="K10" ca="1" si="3">AVERAGE(K7:K9)</f>
        <v>1.3591688899677532</v>
      </c>
      <c r="L10" s="7">
        <f t="shared" ref="L10" ca="1" si="4">AVERAGE(L7:L9)</f>
        <v>1.3788441035286887</v>
      </c>
      <c r="O10" s="12" t="s">
        <v>14</v>
      </c>
      <c r="P10" s="7">
        <f ca="1">AVERAGE(P7:P9)</f>
        <v>1.8597526778559186</v>
      </c>
      <c r="Q10" s="7">
        <f t="shared" ref="Q10" ca="1" si="5">AVERAGE(Q7:Q9)</f>
        <v>1.8400349046390838</v>
      </c>
      <c r="R10" s="7">
        <f t="shared" ref="R10" ca="1" si="6">AVERAGE(R7:R9)</f>
        <v>1.9561957743202518</v>
      </c>
      <c r="S10" s="7">
        <f t="shared" ref="S10" ca="1" si="7">AVERAGE(S7:S9)</f>
        <v>1.9497696953678529</v>
      </c>
    </row>
    <row r="11" spans="1:19" ht="21.75" customHeight="1"/>
    <row r="12" spans="1:19" s="10" customFormat="1"/>
    <row r="15" spans="1:19">
      <c r="A15" t="s">
        <v>0</v>
      </c>
      <c r="B15" s="6">
        <v>1.6</v>
      </c>
      <c r="C15" t="s">
        <v>1</v>
      </c>
      <c r="D15" s="4">
        <v>1.84</v>
      </c>
      <c r="E15" s="5">
        <v>2.16</v>
      </c>
      <c r="H15" t="s">
        <v>0</v>
      </c>
      <c r="I15" s="6">
        <v>1.75</v>
      </c>
      <c r="J15" t="s">
        <v>1</v>
      </c>
      <c r="K15" s="4">
        <v>2.0099999999999998</v>
      </c>
      <c r="L15" s="5">
        <v>2.33</v>
      </c>
      <c r="O15" t="s">
        <v>0</v>
      </c>
      <c r="P15" s="6">
        <v>2</v>
      </c>
      <c r="Q15" t="s">
        <v>1</v>
      </c>
      <c r="R15" s="4">
        <v>2.2999999999999998</v>
      </c>
      <c r="S15" s="5">
        <v>2.63</v>
      </c>
    </row>
    <row r="17" spans="1:19" ht="30" customHeight="1">
      <c r="A17" s="12"/>
      <c r="B17" s="13" t="s">
        <v>15</v>
      </c>
      <c r="C17" s="13" t="s">
        <v>18</v>
      </c>
      <c r="D17" s="13" t="s">
        <v>16</v>
      </c>
      <c r="E17" s="13" t="s">
        <v>17</v>
      </c>
      <c r="H17" s="12"/>
      <c r="I17" s="13" t="s">
        <v>15</v>
      </c>
      <c r="J17" s="13" t="s">
        <v>18</v>
      </c>
      <c r="K17" s="13" t="s">
        <v>16</v>
      </c>
      <c r="L17" s="13" t="s">
        <v>17</v>
      </c>
      <c r="O17" s="12"/>
      <c r="P17" s="13" t="s">
        <v>15</v>
      </c>
      <c r="Q17" s="13" t="s">
        <v>18</v>
      </c>
      <c r="R17" s="13" t="s">
        <v>16</v>
      </c>
      <c r="S17" s="13" t="s">
        <v>17</v>
      </c>
    </row>
    <row r="18" spans="1:19" ht="30" customHeight="1">
      <c r="A18" s="12" t="s">
        <v>11</v>
      </c>
      <c r="B18" s="7">
        <f ca="1">1.95 + (1.99 - 1.9) * RAND()</f>
        <v>2.0054024115595404</v>
      </c>
      <c r="C18" s="7">
        <f ca="1">1.9 + (1.99 - 1.9) * RAND()</f>
        <v>1.9821847832949022</v>
      </c>
      <c r="D18" s="7">
        <f ca="1">2.01 + (2.1 - 2.01) * RAND()</f>
        <v>2.0792212116934712</v>
      </c>
      <c r="E18" s="7">
        <f ca="1">2.09 + (2.1 - 2.01) * RAND()</f>
        <v>2.1796119640339131</v>
      </c>
      <c r="H18" s="12" t="s">
        <v>11</v>
      </c>
      <c r="I18" s="7">
        <f ca="1">2.09 + (2.17 - 2.08) * RAND()</f>
        <v>2.1262905178097964</v>
      </c>
      <c r="J18" s="7">
        <f ca="1">2.08 + (2.17 - 2.08) * RAND()</f>
        <v>2.1506493657165269</v>
      </c>
      <c r="K18" s="7">
        <f ca="1">2.21 + (2.3 - 2.21) * RAND()</f>
        <v>2.2690574712310405</v>
      </c>
      <c r="L18" s="7">
        <f ca="1">2.22 + (2.3 - 2.21) * RAND()</f>
        <v>2.2227562568259893</v>
      </c>
      <c r="O18" s="12" t="s">
        <v>11</v>
      </c>
      <c r="P18" s="7">
        <f ca="1">2.39 + (2.47 - 2.38) * RAND()</f>
        <v>2.4191890383340584</v>
      </c>
      <c r="Q18" s="7">
        <f ca="1">2.38 + (2.47 - 2.38) * RAND()</f>
        <v>2.4629141304387479</v>
      </c>
      <c r="R18" s="7">
        <f ca="1">2.51 + (2.6 - 2.51) * RAND()</f>
        <v>2.51165667175243</v>
      </c>
      <c r="S18" s="7">
        <f ca="1">2.52 + (2.6 - 2.51) * RAND()</f>
        <v>2.5477431256693057</v>
      </c>
    </row>
    <row r="19" spans="1:19" ht="30" customHeight="1">
      <c r="A19" s="12" t="s">
        <v>12</v>
      </c>
      <c r="B19" s="7">
        <f ca="1">1.95 + (1.99 - 1.9) * RAND()</f>
        <v>2.0108949028120775</v>
      </c>
      <c r="C19" s="7">
        <f ca="1">1.9 + (1.99 - 1.9) * RAND()</f>
        <v>1.9288334388674631</v>
      </c>
      <c r="D19" s="7">
        <f ca="1">2.01 + (2.1 - 2.01) * RAND()</f>
        <v>2.077616999404631</v>
      </c>
      <c r="E19" s="7">
        <f ca="1">2.09 + (2.1 - 2.01) * RAND()</f>
        <v>2.120190632686545</v>
      </c>
      <c r="H19" s="12" t="s">
        <v>12</v>
      </c>
      <c r="I19" s="7">
        <f ca="1">2.09 + (2.17 - 2.08) * RAND()</f>
        <v>2.1772700410102384</v>
      </c>
      <c r="J19" s="7">
        <f ca="1">2.08 + (2.17 - 2.08) * RAND()</f>
        <v>2.0945688067323172</v>
      </c>
      <c r="K19" s="7">
        <f ca="1">2.21 + (2.3 - 2.21) * RAND()</f>
        <v>2.2485627282979443</v>
      </c>
      <c r="L19" s="7">
        <f ca="1">2.22 + (2.3 - 2.21) * RAND()</f>
        <v>2.2204948161889897</v>
      </c>
      <c r="O19" s="12" t="s">
        <v>12</v>
      </c>
      <c r="P19" s="7">
        <f ca="1">2.39 + (2.47 - 2.38) * RAND()</f>
        <v>2.4537695805801421</v>
      </c>
      <c r="Q19" s="7">
        <f ca="1">2.38 + (2.47 - 2.38) * RAND()</f>
        <v>2.4041482167566302</v>
      </c>
      <c r="R19" s="7">
        <f ca="1">2.51 + (2.6 - 2.51) * RAND()</f>
        <v>2.5821554422396682</v>
      </c>
      <c r="S19" s="7">
        <f ca="1">2.52 + (2.6 - 2.51) * RAND()</f>
        <v>2.6091888886278887</v>
      </c>
    </row>
    <row r="20" spans="1:19" ht="30" customHeight="1">
      <c r="A20" s="12" t="s">
        <v>13</v>
      </c>
      <c r="B20" s="7">
        <f ca="1">1.95 + (1.99 - 1.9) * RAND()</f>
        <v>1.9520588529739902</v>
      </c>
      <c r="C20" s="7">
        <f ca="1">1.9 + (1.99 - 1.9) * RAND()</f>
        <v>1.9535463413419583</v>
      </c>
      <c r="D20" s="7">
        <f ca="1">2.01 + (2.1 - 2.01) * RAND()</f>
        <v>2.0124380592061906</v>
      </c>
      <c r="E20" s="7">
        <f ca="1">2.09 + (2.1 - 2.01) * RAND()</f>
        <v>2.1295699070317675</v>
      </c>
      <c r="H20" s="12" t="s">
        <v>13</v>
      </c>
      <c r="I20" s="7">
        <f ca="1">2.09 + (2.17 - 2.08) * RAND()</f>
        <v>2.1447192725548261</v>
      </c>
      <c r="J20" s="7">
        <f ca="1">2.08 + (2.17 - 2.08) * RAND()</f>
        <v>2.1475881985414418</v>
      </c>
      <c r="K20" s="7">
        <f ca="1">2.21 + (2.3 - 2.21) * RAND()</f>
        <v>2.2369800432841669</v>
      </c>
      <c r="L20" s="7">
        <f ca="1">2.22 + (2.3 - 2.21) * RAND()</f>
        <v>2.2910244749481863</v>
      </c>
      <c r="O20" s="12" t="s">
        <v>13</v>
      </c>
      <c r="P20" s="7">
        <f ca="1">2.39 + (2.47 - 2.38) * RAND()</f>
        <v>2.4453582891762879</v>
      </c>
      <c r="Q20" s="7">
        <f ca="1">2.38 + (2.47 - 2.38) * RAND()</f>
        <v>2.3994438133409282</v>
      </c>
      <c r="R20" s="7">
        <f ca="1">2.51 + (2.6 - 2.51) * RAND()</f>
        <v>2.557977264351853</v>
      </c>
      <c r="S20" s="7">
        <f ca="1">2.52 + (2.6 - 2.51) * RAND()</f>
        <v>2.6045187025832872</v>
      </c>
    </row>
    <row r="21" spans="1:19" ht="30" customHeight="1">
      <c r="A21" s="12" t="s">
        <v>14</v>
      </c>
      <c r="B21" s="7">
        <f ca="1">AVERAGE(B18:B20)</f>
        <v>1.9894520557818696</v>
      </c>
      <c r="C21" s="7">
        <f t="shared" ref="C21" ca="1" si="8">AVERAGE(C18:C20)</f>
        <v>1.9548548545014413</v>
      </c>
      <c r="D21" s="7">
        <f t="shared" ref="D21" ca="1" si="9">AVERAGE(D18:D20)</f>
        <v>2.0564254234347641</v>
      </c>
      <c r="E21" s="7">
        <f t="shared" ref="E21" ca="1" si="10">AVERAGE(E18:E20)</f>
        <v>2.1431241679174082</v>
      </c>
      <c r="H21" s="12" t="s">
        <v>14</v>
      </c>
      <c r="I21" s="7">
        <f ca="1">AVERAGE(I18:I20)</f>
        <v>2.1494266104582871</v>
      </c>
      <c r="J21" s="7">
        <f t="shared" ref="J21" ca="1" si="11">AVERAGE(J18:J20)</f>
        <v>2.1309354569967618</v>
      </c>
      <c r="K21" s="7">
        <f t="shared" ref="K21" ca="1" si="12">AVERAGE(K18:K20)</f>
        <v>2.2515334142710501</v>
      </c>
      <c r="L21" s="7">
        <f t="shared" ref="L21" ca="1" si="13">AVERAGE(L18:L20)</f>
        <v>2.2447585159877215</v>
      </c>
      <c r="O21" s="12" t="s">
        <v>14</v>
      </c>
      <c r="P21" s="7">
        <f ca="1">AVERAGE(P18:P20)</f>
        <v>2.4394389693634961</v>
      </c>
      <c r="Q21" s="7">
        <f t="shared" ref="Q21" ca="1" si="14">AVERAGE(Q18:Q20)</f>
        <v>2.4221687201787687</v>
      </c>
      <c r="R21" s="7">
        <f t="shared" ref="R21" ca="1" si="15">AVERAGE(R18:R20)</f>
        <v>2.5505964594479837</v>
      </c>
      <c r="S21" s="7">
        <f t="shared" ref="S21" ca="1" si="16">AVERAGE(S18:S20)</f>
        <v>2.5871502389601604</v>
      </c>
    </row>
    <row r="22" spans="1:19" ht="22.5" customHeight="1"/>
    <row r="23" spans="1:19" s="10" customFormat="1"/>
    <row r="26" spans="1:19">
      <c r="A26" t="s">
        <v>0</v>
      </c>
      <c r="B26" s="6">
        <v>2.5</v>
      </c>
      <c r="C26" t="s">
        <v>1</v>
      </c>
      <c r="D26" s="4">
        <v>2.88</v>
      </c>
      <c r="E26" s="5">
        <v>3.23</v>
      </c>
      <c r="H26" t="s">
        <v>0</v>
      </c>
      <c r="I26" s="6">
        <v>0.63</v>
      </c>
      <c r="J26" t="s">
        <v>1</v>
      </c>
      <c r="K26" s="4">
        <v>0.73</v>
      </c>
      <c r="L26" s="5">
        <v>0.8</v>
      </c>
      <c r="O26" s="14"/>
      <c r="P26" s="15"/>
      <c r="Q26" s="14"/>
      <c r="R26" s="14"/>
      <c r="S26" s="14"/>
    </row>
    <row r="28" spans="1:19" ht="29.25" customHeight="1">
      <c r="A28" s="12"/>
      <c r="B28" s="13" t="s">
        <v>15</v>
      </c>
      <c r="C28" s="13" t="s">
        <v>18</v>
      </c>
      <c r="D28" s="13" t="s">
        <v>16</v>
      </c>
      <c r="E28" s="13" t="s">
        <v>17</v>
      </c>
      <c r="H28" s="12"/>
      <c r="I28" s="13" t="s">
        <v>15</v>
      </c>
      <c r="J28" s="13" t="s">
        <v>18</v>
      </c>
      <c r="K28" s="13" t="s">
        <v>16</v>
      </c>
      <c r="L28" s="13" t="s">
        <v>17</v>
      </c>
      <c r="N28" s="11" t="s">
        <v>9</v>
      </c>
    </row>
    <row r="29" spans="1:19" ht="29.25" customHeight="1">
      <c r="A29" s="12" t="s">
        <v>11</v>
      </c>
      <c r="B29" s="7">
        <f ca="1">2.88 + (3.05 - 2.85) * RAND()</f>
        <v>3.0476735261131349</v>
      </c>
      <c r="C29" s="7">
        <f ca="1">2.85 + (3.05 - 2.85) * RAND()</f>
        <v>2.8736008280981031</v>
      </c>
      <c r="D29" s="7">
        <f ca="1">3.08 + (3.18 -3.08) * RAND()</f>
        <v>3.1041945368195303</v>
      </c>
      <c r="E29" s="7">
        <f ca="1">3.11 + (3.18 -3.08) * RAND()</f>
        <v>3.1152297971201994</v>
      </c>
      <c r="H29" s="12" t="s">
        <v>11</v>
      </c>
      <c r="I29" s="7">
        <f ca="1">0.74 + (0.78 - 0.73) * RAND()</f>
        <v>0.76359344302160459</v>
      </c>
      <c r="J29" s="7">
        <f ca="1">0.73 + (0.78 - 0.73) * RAND()</f>
        <v>0.75791679480662733</v>
      </c>
      <c r="K29" s="7">
        <f t="shared" ref="K29:L31" ca="1" si="17">0.75 + (0.8 - 0.75) * RAND()</f>
        <v>0.79076458060829335</v>
      </c>
      <c r="L29" s="7">
        <f t="shared" ca="1" si="17"/>
        <v>0.78366680467726002</v>
      </c>
      <c r="N29" s="4">
        <v>0.73</v>
      </c>
      <c r="O29" s="5">
        <v>1</v>
      </c>
    </row>
    <row r="30" spans="1:19" ht="29.25" customHeight="1">
      <c r="A30" s="12" t="s">
        <v>12</v>
      </c>
      <c r="B30" s="7">
        <f ca="1">2.88 + (3.05 - 2.85) * RAND()</f>
        <v>2.8975942143505171</v>
      </c>
      <c r="C30" s="7">
        <f ca="1">2.85 + (3.05 - 2.85) * RAND()</f>
        <v>2.8991442353908838</v>
      </c>
      <c r="D30" s="7">
        <f ca="1">3.08 + (3.18 -3.08) * RAND()</f>
        <v>3.1166243056407761</v>
      </c>
      <c r="E30" s="7">
        <f ca="1">3.11 + (3.18 -3.08) * RAND()</f>
        <v>3.1599406014095521</v>
      </c>
      <c r="H30" s="12" t="s">
        <v>12</v>
      </c>
      <c r="I30" s="7">
        <f ca="1">0.74 + (0.78 - 0.73) * RAND()</f>
        <v>0.78359093665583335</v>
      </c>
      <c r="J30" s="7">
        <f ca="1">0.73 + (0.78 - 0.73) * RAND()</f>
        <v>0.77088505574164312</v>
      </c>
      <c r="K30" s="7">
        <f t="shared" ca="1" si="17"/>
        <v>0.76211552288626094</v>
      </c>
      <c r="L30" s="7">
        <f t="shared" ca="1" si="17"/>
        <v>0.78489436066444263</v>
      </c>
      <c r="N30" s="4">
        <v>0.73</v>
      </c>
      <c r="O30" s="5">
        <v>1.5</v>
      </c>
    </row>
    <row r="31" spans="1:19" ht="29.25" customHeight="1">
      <c r="A31" s="12" t="s">
        <v>13</v>
      </c>
      <c r="B31" s="7">
        <f ca="1">2.88 + (3.05 - 2.85) * RAND()</f>
        <v>3.0172056935220279</v>
      </c>
      <c r="C31" s="7">
        <f ca="1">2.85 + (3.05 - 2.85) * RAND()</f>
        <v>2.921477979211347</v>
      </c>
      <c r="D31" s="7">
        <f ca="1">3.08 + (3.18 -3.08) * RAND()</f>
        <v>3.0841218596007316</v>
      </c>
      <c r="E31" s="7">
        <f ca="1">3.11 + (3.18 -3.08) * RAND()</f>
        <v>3.1559319452592471</v>
      </c>
      <c r="H31" s="12" t="s">
        <v>13</v>
      </c>
      <c r="I31" s="7">
        <f ca="1">0.74 + (0.78 - 0.73) * RAND()</f>
        <v>0.75694317238546605</v>
      </c>
      <c r="J31" s="7">
        <f ca="1">0.73 + (0.78 - 0.73) * RAND()</f>
        <v>0.76214364751594033</v>
      </c>
      <c r="K31" s="7">
        <f t="shared" ca="1" si="17"/>
        <v>0.77677970346426151</v>
      </c>
      <c r="L31" s="7">
        <f t="shared" ca="1" si="17"/>
        <v>0.79186528063169748</v>
      </c>
    </row>
    <row r="32" spans="1:19" ht="29.25" customHeight="1">
      <c r="A32" s="12" t="s">
        <v>14</v>
      </c>
      <c r="B32" s="7">
        <f ca="1">AVERAGE(B29:B31)</f>
        <v>2.9874911446618935</v>
      </c>
      <c r="C32" s="7">
        <f t="shared" ref="C32" ca="1" si="18">AVERAGE(C29:C31)</f>
        <v>2.8980743475667778</v>
      </c>
      <c r="D32" s="7">
        <f t="shared" ref="D32" ca="1" si="19">AVERAGE(D29:D31)</f>
        <v>3.1016469006870131</v>
      </c>
      <c r="E32" s="7">
        <f t="shared" ref="E32" ca="1" si="20">AVERAGE(E29:E31)</f>
        <v>3.1437007812629996</v>
      </c>
      <c r="H32" s="12" t="s">
        <v>14</v>
      </c>
      <c r="I32" s="7">
        <f ca="1">AVERAGE(I29:I31)</f>
        <v>0.7680425173543014</v>
      </c>
      <c r="J32" s="7">
        <f t="shared" ref="J32" ca="1" si="21">AVERAGE(J29:J31)</f>
        <v>0.763648499354737</v>
      </c>
      <c r="K32" s="7">
        <f t="shared" ref="K32" ca="1" si="22">AVERAGE(K29:K31)</f>
        <v>0.77655326898627186</v>
      </c>
      <c r="L32" s="7">
        <f t="shared" ref="L32" ca="1" si="23">AVERAGE(L29:L31)</f>
        <v>0.78680881532446667</v>
      </c>
    </row>
    <row r="33" ht="29.25" customHeight="1"/>
    <row r="34" ht="29.25" customHeight="1"/>
    <row r="35" ht="29.25" customHeight="1"/>
    <row r="36" ht="29.25" customHeight="1"/>
    <row r="37" ht="29.25" customHeight="1"/>
    <row r="38" ht="29.25" customHeight="1"/>
    <row r="39" ht="29.25" customHeight="1"/>
    <row r="40" ht="29.25" customHeight="1"/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WPS Office 专业版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竖排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cp:revision/>
  <cp:lastPrinted>2018-08-20T09:34:47Z</cp:lastPrinted>
  <dcterms:created xsi:type="dcterms:W3CDTF">2012-06-06T01:30:27Z</dcterms:created>
  <dcterms:modified xsi:type="dcterms:W3CDTF">2025-10-10T07:28:51Z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